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s 11\Desktop\MyCafeCloud\mycloudcafe-cp\investor-docs-uz\"/>
    </mc:Choice>
  </mc:AlternateContent>
  <xr:revisionPtr revIDLastSave="0" documentId="13_ncr:1_{50E07324-CC70-455F-9774-538E1DD8692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Yoriqnoma" sheetId="1" r:id="rId1"/>
    <sheet name="Farazlar" sheetId="2" r:id="rId2"/>
    <sheet name="Oyma-oy model" sheetId="3" r:id="rId3"/>
    <sheet name="Yillik xulosa" sheetId="4" r:id="rId4"/>
    <sheet name="Ssenariylar" sheetId="5" r:id="rId5"/>
    <sheet name="Grafiklar" sheetId="6" r:id="rId6"/>
  </sheets>
  <calcPr calcId="0"/>
</workbook>
</file>

<file path=xl/sharedStrings.xml><?xml version="1.0" encoding="utf-8"?>
<sst xmlns="http://schemas.openxmlformats.org/spreadsheetml/2006/main" count="73" uniqueCount="64">
  <si>
    <t>MyCafeCloud moliyaviy modeli (Uzbek)</t>
  </si>
  <si>
    <t>Ushbu fayl ishchi farazlar asosida tayyorlangan.</t>
  </si>
  <si>
    <t>Sheetlar:</t>
  </si>
  <si>
    <t>Farazlar</t>
  </si>
  <si>
    <t>Oyma-oy model</t>
  </si>
  <si>
    <t>Yillik xulosa</t>
  </si>
  <si>
    <t>Ssenariylar</t>
  </si>
  <si>
    <t>Grafiklar</t>
  </si>
  <si>
    <t>Parametr</t>
  </si>
  <si>
    <t>Qiymat</t>
  </si>
  <si>
    <t>Izoh</t>
  </si>
  <si>
    <t>Oylik SaaS abonent</t>
  </si>
  <si>
    <t>1 klub / filial uchun</t>
  </si>
  <si>
    <t>Onboarding/setup</t>
  </si>
  <si>
    <t>Bir martalik ishga tushirish</t>
  </si>
  <si>
    <t>Premium analytics</t>
  </si>
  <si>
    <t>Qo'shimcha modul</t>
  </si>
  <si>
    <t>Premium attach</t>
  </si>
  <si>
    <t>Faol klublarning premium ulushi</t>
  </si>
  <si>
    <t>Churn</t>
  </si>
  <si>
    <t>6-oydan keyin oyma-oy churn</t>
  </si>
  <si>
    <t>COGS</t>
  </si>
  <si>
    <t>Hosting, support, infra ulushi</t>
  </si>
  <si>
    <t>Jamoa OPEX start</t>
  </si>
  <si>
    <t>Boshlang'ich jamoa xarajati</t>
  </si>
  <si>
    <t>Jamoa OPEX o'sishi</t>
  </si>
  <si>
    <t>Har oy o'sish koeff.</t>
  </si>
  <si>
    <t>Marketing Y1</t>
  </si>
  <si>
    <t>1-yil oyma-oy</t>
  </si>
  <si>
    <t>Marketing Y2</t>
  </si>
  <si>
    <t>2-yil oyma-oy</t>
  </si>
  <si>
    <t>Marketing Y3</t>
  </si>
  <si>
    <t>3-yil oyma-oy</t>
  </si>
  <si>
    <t>G&amp;A Y1</t>
  </si>
  <si>
    <t>G&amp;A Y2</t>
  </si>
  <si>
    <t>G&amp;A Y3</t>
  </si>
  <si>
    <t>Seed round (USD)</t>
  </si>
  <si>
    <t>Ishchi so'rov</t>
  </si>
  <si>
    <t>Oy</t>
  </si>
  <si>
    <t>Yil</t>
  </si>
  <si>
    <t>Yangi klublar</t>
  </si>
  <si>
    <t>Boshlanish faol</t>
  </si>
  <si>
    <t>Yakuniy faol</t>
  </si>
  <si>
    <t>SaaS</t>
  </si>
  <si>
    <t>Premium</t>
  </si>
  <si>
    <t>Setup</t>
  </si>
  <si>
    <t>Jami daromad</t>
  </si>
  <si>
    <t>Team OPEX</t>
  </si>
  <si>
    <t>Marketing</t>
  </si>
  <si>
    <t>G&amp;A</t>
  </si>
  <si>
    <t>EBITDA</t>
  </si>
  <si>
    <t>Yil oxiri faol</t>
  </si>
  <si>
    <t>Recurring revenue</t>
  </si>
  <si>
    <t>Exit MRR</t>
  </si>
  <si>
    <t>Ssenariy</t>
  </si>
  <si>
    <t>Y1 daromad</t>
  </si>
  <si>
    <t>Y2 daromad</t>
  </si>
  <si>
    <t>Y3 daromad</t>
  </si>
  <si>
    <t>Y3 EBITDA</t>
  </si>
  <si>
    <t>Y3 faol klublar</t>
  </si>
  <si>
    <t>Konservativ</t>
  </si>
  <si>
    <t>Baza</t>
  </si>
  <si>
    <t>Agresiv</t>
  </si>
  <si>
    <t>MyCafeCloud o'sish grafiklari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</si>
</sst>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F172A"/>
      <name val="Calibri"/>
    </font>
    <font>
      <b/>
      <sz val="11"/>
      <color rgb="FF0F172A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1" xfId="0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1" xfId="0" applyNumberForma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Oyma-oy jami daromad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'Oyma-oy model'!$J$1</c:f>
              <c:strCache>
                <c:ptCount val="1"/>
                <c:pt idx="0">
                  <c:v>Jami daromad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'Oyma-oy model'!$A$2:$A$37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'Oyma-oy model'!$J$2:$J$37</c:f>
              <c:numCache>
                <c:formatCode>#,##0</c:formatCode>
                <c:ptCount val="36"/>
                <c:pt idx="0">
                  <c:v>14100000</c:v>
                </c:pt>
                <c:pt idx="1">
                  <c:v>18200000</c:v>
                </c:pt>
                <c:pt idx="2">
                  <c:v>29350000</c:v>
                </c:pt>
                <c:pt idx="3">
                  <c:v>35500000</c:v>
                </c:pt>
                <c:pt idx="4">
                  <c:v>48700000</c:v>
                </c:pt>
                <c:pt idx="5">
                  <c:v>56900000</c:v>
                </c:pt>
                <c:pt idx="6">
                  <c:v>72150000</c:v>
                </c:pt>
                <c:pt idx="7">
                  <c:v>82400000</c:v>
                </c:pt>
                <c:pt idx="8">
                  <c:v>99700000</c:v>
                </c:pt>
                <c:pt idx="9">
                  <c:v>112000000</c:v>
                </c:pt>
                <c:pt idx="10">
                  <c:v>131350000</c:v>
                </c:pt>
                <c:pt idx="11">
                  <c:v>145700000</c:v>
                </c:pt>
                <c:pt idx="12">
                  <c:v>165050000</c:v>
                </c:pt>
                <c:pt idx="13">
                  <c:v>179400000</c:v>
                </c:pt>
                <c:pt idx="14">
                  <c:v>200800000</c:v>
                </c:pt>
                <c:pt idx="15">
                  <c:v>217200000</c:v>
                </c:pt>
                <c:pt idx="16">
                  <c:v>240650000</c:v>
                </c:pt>
                <c:pt idx="17">
                  <c:v>259100000</c:v>
                </c:pt>
                <c:pt idx="18">
                  <c:v>284600000</c:v>
                </c:pt>
                <c:pt idx="19">
                  <c:v>305100000</c:v>
                </c:pt>
                <c:pt idx="20">
                  <c:v>332650000</c:v>
                </c:pt>
                <c:pt idx="21">
                  <c:v>355200000</c:v>
                </c:pt>
                <c:pt idx="22">
                  <c:v>384800000</c:v>
                </c:pt>
                <c:pt idx="23">
                  <c:v>407350000</c:v>
                </c:pt>
                <c:pt idx="24">
                  <c:v>436950000</c:v>
                </c:pt>
                <c:pt idx="25">
                  <c:v>461550000</c:v>
                </c:pt>
                <c:pt idx="26">
                  <c:v>493200000</c:v>
                </c:pt>
                <c:pt idx="27">
                  <c:v>519850000</c:v>
                </c:pt>
                <c:pt idx="28">
                  <c:v>553550000</c:v>
                </c:pt>
                <c:pt idx="29">
                  <c:v>582250000</c:v>
                </c:pt>
                <c:pt idx="30">
                  <c:v>618000000</c:v>
                </c:pt>
                <c:pt idx="31">
                  <c:v>646700000</c:v>
                </c:pt>
                <c:pt idx="32">
                  <c:v>682450000</c:v>
                </c:pt>
                <c:pt idx="33">
                  <c:v>713200000</c:v>
                </c:pt>
                <c:pt idx="34">
                  <c:v>751000000</c:v>
                </c:pt>
                <c:pt idx="35">
                  <c:v>790850000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08-46BE-A2C2-CB84C0DEC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UZS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Yillik daromad va EBITDA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'Yillik xulosa'!$E$1</c:f>
              <c:strCache>
                <c:ptCount val="1"/>
                <c:pt idx="0">
                  <c:v>Jami daromad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'Yillik xulosa'!$A$2:$A$4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'Yillik xulosa'!$E$2:$E$4</c:f>
              <c:numCache>
                <c:formatCode>#,##0</c:formatCode>
                <c:ptCount val="3"/>
                <c:pt idx="0">
                  <c:v>846050000</c:v>
                </c:pt>
                <c:pt idx="1">
                  <c:v>3331900000</c:v>
                </c:pt>
                <c:pt idx="2">
                  <c:v>7249550000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0-40B3-A088-63566B4CE330}"/>
            </c:ext>
          </c:extLst>
        </c:ser>
        <c:ser>
          <c:idx val="1"/>
          <c:order val="1"/>
          <c:tx>
            <c:strRef>
              <c:f>'Yillik xulosa'!$F$1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'Yillik xulosa'!$A$2:$A$4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'Yillik xulosa'!$F$2:$F$4</c:f>
              <c:numCache>
                <c:formatCode>#,##0</c:formatCode>
                <c:ptCount val="3"/>
                <c:pt idx="0">
                  <c:v>-373948686</c:v>
                </c:pt>
                <c:pt idx="1">
                  <c:v>1432533438</c:v>
                </c:pt>
                <c:pt idx="2">
                  <c:v>4385057096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A0-40B3-A088-63566B4C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Yil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UZS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Faol klublar dinamikasi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'Oyma-oy model'!$F$1</c:f>
              <c:strCache>
                <c:ptCount val="1"/>
                <c:pt idx="0">
                  <c:v>Yakuniy faol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'Oyma-oy model'!$A$2:$A$37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'Oyma-oy model'!$F$2:$F$37</c:f>
              <c:numCache>
                <c:formatCode>General</c:formatCode>
                <c:ptCount val="3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10</c:v>
                </c:pt>
                <c:pt idx="4">
                  <c:v>14</c:v>
                </c:pt>
                <c:pt idx="5">
                  <c:v>18</c:v>
                </c:pt>
                <c:pt idx="6">
                  <c:v>23</c:v>
                </c:pt>
                <c:pt idx="7">
                  <c:v>28</c:v>
                </c:pt>
                <c:pt idx="8">
                  <c:v>34</c:v>
                </c:pt>
                <c:pt idx="9">
                  <c:v>40</c:v>
                </c:pt>
                <c:pt idx="10">
                  <c:v>47</c:v>
                </c:pt>
                <c:pt idx="11">
                  <c:v>54</c:v>
                </c:pt>
                <c:pt idx="12">
                  <c:v>61</c:v>
                </c:pt>
                <c:pt idx="13">
                  <c:v>68</c:v>
                </c:pt>
                <c:pt idx="14">
                  <c:v>76</c:v>
                </c:pt>
                <c:pt idx="15">
                  <c:v>84</c:v>
                </c:pt>
                <c:pt idx="16">
                  <c:v>93</c:v>
                </c:pt>
                <c:pt idx="17">
                  <c:v>102</c:v>
                </c:pt>
                <c:pt idx="18">
                  <c:v>112</c:v>
                </c:pt>
                <c:pt idx="19">
                  <c:v>122</c:v>
                </c:pt>
                <c:pt idx="20">
                  <c:v>133</c:v>
                </c:pt>
                <c:pt idx="21">
                  <c:v>144</c:v>
                </c:pt>
                <c:pt idx="22">
                  <c:v>156</c:v>
                </c:pt>
                <c:pt idx="23">
                  <c:v>167</c:v>
                </c:pt>
                <c:pt idx="24">
                  <c:v>179</c:v>
                </c:pt>
                <c:pt idx="25">
                  <c:v>191</c:v>
                </c:pt>
                <c:pt idx="26">
                  <c:v>204</c:v>
                </c:pt>
                <c:pt idx="27">
                  <c:v>217</c:v>
                </c:pt>
                <c:pt idx="28">
                  <c:v>231</c:v>
                </c:pt>
                <c:pt idx="29">
                  <c:v>245</c:v>
                </c:pt>
                <c:pt idx="30">
                  <c:v>260</c:v>
                </c:pt>
                <c:pt idx="31">
                  <c:v>274</c:v>
                </c:pt>
                <c:pt idx="32">
                  <c:v>289</c:v>
                </c:pt>
                <c:pt idx="33">
                  <c:v>304</c:v>
                </c:pt>
                <c:pt idx="34">
                  <c:v>320</c:v>
                </c:pt>
                <c:pt idx="35">
                  <c:v>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F0-4BB3-BB42-090950F25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Klublar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16</xdr:col>
      <xdr:colOff>0</xdr:colOff>
      <xdr:row>2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1" t="s">
        <v>0</v>
      </c>
    </row>
    <row r="2" spans="1:1" x14ac:dyDescent="0.25">
      <c r="A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17" sqref="C17"/>
    </sheetView>
  </sheetViews>
  <sheetFormatPr defaultRowHeight="15" x14ac:dyDescent="0.25"/>
  <cols>
    <col min="1" max="2" width="28" customWidth="1"/>
    <col min="3" max="3" width="44" customWidth="1"/>
  </cols>
  <sheetData>
    <row r="1" spans="1:3" x14ac:dyDescent="0.25">
      <c r="A1" s="2" t="s">
        <v>8</v>
      </c>
      <c r="B1" s="2" t="s">
        <v>9</v>
      </c>
      <c r="C1" s="2" t="s">
        <v>10</v>
      </c>
    </row>
    <row r="2" spans="1:3" x14ac:dyDescent="0.25">
      <c r="A2" s="3" t="s">
        <v>11</v>
      </c>
      <c r="B2" s="6">
        <v>1900000</v>
      </c>
      <c r="C2" s="3" t="s">
        <v>12</v>
      </c>
    </row>
    <row r="3" spans="1:3" x14ac:dyDescent="0.25">
      <c r="A3" s="3" t="s">
        <v>13</v>
      </c>
      <c r="B3" s="6">
        <v>5000000</v>
      </c>
      <c r="C3" s="3" t="s">
        <v>14</v>
      </c>
    </row>
    <row r="4" spans="1:3" x14ac:dyDescent="0.25">
      <c r="A4" s="3" t="s">
        <v>15</v>
      </c>
      <c r="B4" s="6">
        <v>600000</v>
      </c>
      <c r="C4" s="3" t="s">
        <v>16</v>
      </c>
    </row>
    <row r="5" spans="1:3" x14ac:dyDescent="0.25">
      <c r="A5" s="3" t="s">
        <v>17</v>
      </c>
      <c r="B5" s="3">
        <v>0.25</v>
      </c>
      <c r="C5" s="3" t="s">
        <v>18</v>
      </c>
    </row>
    <row r="6" spans="1:3" x14ac:dyDescent="0.25">
      <c r="A6" s="3" t="s">
        <v>19</v>
      </c>
      <c r="B6" s="3">
        <v>0.01</v>
      </c>
      <c r="C6" s="3" t="s">
        <v>20</v>
      </c>
    </row>
    <row r="7" spans="1:3" x14ac:dyDescent="0.25">
      <c r="A7" s="3" t="s">
        <v>21</v>
      </c>
      <c r="B7" s="3">
        <v>0.12</v>
      </c>
      <c r="C7" s="3" t="s">
        <v>22</v>
      </c>
    </row>
    <row r="8" spans="1:3" x14ac:dyDescent="0.25">
      <c r="A8" s="3" t="s">
        <v>23</v>
      </c>
      <c r="B8" s="6">
        <v>60000000</v>
      </c>
      <c r="C8" s="3" t="s">
        <v>24</v>
      </c>
    </row>
    <row r="9" spans="1:3" x14ac:dyDescent="0.25">
      <c r="A9" s="3" t="s">
        <v>25</v>
      </c>
      <c r="B9" s="3">
        <v>1.4999999999999999E-2</v>
      </c>
      <c r="C9" s="3" t="s">
        <v>26</v>
      </c>
    </row>
    <row r="10" spans="1:3" x14ac:dyDescent="0.25">
      <c r="A10" s="3" t="s">
        <v>27</v>
      </c>
      <c r="B10" s="6">
        <v>20000000</v>
      </c>
      <c r="C10" s="3" t="s">
        <v>28</v>
      </c>
    </row>
    <row r="11" spans="1:3" x14ac:dyDescent="0.25">
      <c r="A11" s="3" t="s">
        <v>29</v>
      </c>
      <c r="B11" s="6">
        <v>35000000</v>
      </c>
      <c r="C11" s="3" t="s">
        <v>30</v>
      </c>
    </row>
    <row r="12" spans="1:3" x14ac:dyDescent="0.25">
      <c r="A12" s="3" t="s">
        <v>31</v>
      </c>
      <c r="B12" s="6">
        <v>55000000</v>
      </c>
      <c r="C12" s="3" t="s">
        <v>32</v>
      </c>
    </row>
    <row r="13" spans="1:3" x14ac:dyDescent="0.25">
      <c r="A13" s="3" t="s">
        <v>33</v>
      </c>
      <c r="B13" s="6">
        <v>8000000</v>
      </c>
      <c r="C13" s="3" t="s">
        <v>28</v>
      </c>
    </row>
    <row r="14" spans="1:3" x14ac:dyDescent="0.25">
      <c r="A14" s="3" t="s">
        <v>34</v>
      </c>
      <c r="B14" s="6">
        <v>12000000</v>
      </c>
      <c r="C14" s="3" t="s">
        <v>30</v>
      </c>
    </row>
    <row r="15" spans="1:3" x14ac:dyDescent="0.25">
      <c r="A15" s="3" t="s">
        <v>35</v>
      </c>
      <c r="B15" s="6">
        <v>18000000</v>
      </c>
      <c r="C15" s="3" t="s">
        <v>32</v>
      </c>
    </row>
    <row r="16" spans="1:3" x14ac:dyDescent="0.25">
      <c r="A16" s="3" t="s">
        <v>36</v>
      </c>
      <c r="B16" s="6">
        <v>25000</v>
      </c>
      <c r="C16" s="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"/>
  <sheetViews>
    <sheetView topLeftCell="A7" workbookViewId="0"/>
  </sheetViews>
  <sheetFormatPr defaultRowHeight="15" x14ac:dyDescent="0.25"/>
  <cols>
    <col min="1" max="15" width="16" customWidth="1"/>
  </cols>
  <sheetData>
    <row r="1" spans="1:15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19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21</v>
      </c>
      <c r="L1" s="2" t="s">
        <v>47</v>
      </c>
      <c r="M1" s="2" t="s">
        <v>48</v>
      </c>
      <c r="N1" s="2" t="s">
        <v>49</v>
      </c>
      <c r="O1" s="2" t="s">
        <v>50</v>
      </c>
    </row>
    <row r="2" spans="1:15" x14ac:dyDescent="0.25">
      <c r="A2" s="4">
        <v>1</v>
      </c>
      <c r="B2" s="4">
        <v>1</v>
      </c>
      <c r="C2" s="4">
        <v>2</v>
      </c>
      <c r="D2" s="4">
        <v>0</v>
      </c>
      <c r="E2" s="4">
        <v>0</v>
      </c>
      <c r="F2" s="4">
        <v>2</v>
      </c>
      <c r="G2" s="5">
        <v>3800000</v>
      </c>
      <c r="H2" s="5">
        <v>300000</v>
      </c>
      <c r="I2" s="5">
        <v>10000000</v>
      </c>
      <c r="J2" s="5">
        <v>14100000</v>
      </c>
      <c r="K2" s="5">
        <v>1692000</v>
      </c>
      <c r="L2" s="5">
        <v>60000000</v>
      </c>
      <c r="M2" s="5">
        <v>20000000</v>
      </c>
      <c r="N2" s="5">
        <v>8000000</v>
      </c>
      <c r="O2" s="5">
        <v>-75592000</v>
      </c>
    </row>
    <row r="3" spans="1:15" x14ac:dyDescent="0.25">
      <c r="A3" s="4">
        <v>2</v>
      </c>
      <c r="B3" s="4">
        <v>1</v>
      </c>
      <c r="C3" s="4">
        <v>2</v>
      </c>
      <c r="D3" s="4">
        <v>2</v>
      </c>
      <c r="E3" s="4">
        <v>0</v>
      </c>
      <c r="F3" s="4">
        <v>4</v>
      </c>
      <c r="G3" s="5">
        <v>7600000</v>
      </c>
      <c r="H3" s="5">
        <v>600000</v>
      </c>
      <c r="I3" s="5">
        <v>10000000</v>
      </c>
      <c r="J3" s="5">
        <v>18200000</v>
      </c>
      <c r="K3" s="5">
        <v>2184000</v>
      </c>
      <c r="L3" s="5">
        <v>60900000</v>
      </c>
      <c r="M3" s="5">
        <v>20000000</v>
      </c>
      <c r="N3" s="5">
        <v>8000000</v>
      </c>
      <c r="O3" s="5">
        <v>-72884000</v>
      </c>
    </row>
    <row r="4" spans="1:15" x14ac:dyDescent="0.25">
      <c r="A4" s="4">
        <v>3</v>
      </c>
      <c r="B4" s="4">
        <v>1</v>
      </c>
      <c r="C4" s="4">
        <v>3</v>
      </c>
      <c r="D4" s="4">
        <v>4</v>
      </c>
      <c r="E4" s="4">
        <v>0</v>
      </c>
      <c r="F4" s="4">
        <v>7</v>
      </c>
      <c r="G4" s="5">
        <v>13300000</v>
      </c>
      <c r="H4" s="5">
        <v>1050000</v>
      </c>
      <c r="I4" s="5">
        <v>15000000</v>
      </c>
      <c r="J4" s="5">
        <v>29350000</v>
      </c>
      <c r="K4" s="5">
        <v>3522000</v>
      </c>
      <c r="L4" s="5">
        <v>61813500</v>
      </c>
      <c r="M4" s="5">
        <v>20000000</v>
      </c>
      <c r="N4" s="5">
        <v>8000000</v>
      </c>
      <c r="O4" s="5">
        <v>-63985500</v>
      </c>
    </row>
    <row r="5" spans="1:15" x14ac:dyDescent="0.25">
      <c r="A5" s="4">
        <v>4</v>
      </c>
      <c r="B5" s="4">
        <v>1</v>
      </c>
      <c r="C5" s="4">
        <v>3</v>
      </c>
      <c r="D5" s="4">
        <v>7</v>
      </c>
      <c r="E5" s="4">
        <v>0</v>
      </c>
      <c r="F5" s="4">
        <v>10</v>
      </c>
      <c r="G5" s="5">
        <v>19000000</v>
      </c>
      <c r="H5" s="5">
        <v>1500000</v>
      </c>
      <c r="I5" s="5">
        <v>15000000</v>
      </c>
      <c r="J5" s="5">
        <v>35500000</v>
      </c>
      <c r="K5" s="5">
        <v>4260000</v>
      </c>
      <c r="L5" s="5">
        <v>62740702</v>
      </c>
      <c r="M5" s="5">
        <v>20000000</v>
      </c>
      <c r="N5" s="5">
        <v>8000000</v>
      </c>
      <c r="O5" s="5">
        <v>-59500702</v>
      </c>
    </row>
    <row r="6" spans="1:15" x14ac:dyDescent="0.25">
      <c r="A6" s="4">
        <v>5</v>
      </c>
      <c r="B6" s="4">
        <v>1</v>
      </c>
      <c r="C6" s="4">
        <v>4</v>
      </c>
      <c r="D6" s="4">
        <v>10</v>
      </c>
      <c r="E6" s="4">
        <v>0</v>
      </c>
      <c r="F6" s="4">
        <v>14</v>
      </c>
      <c r="G6" s="5">
        <v>26600000</v>
      </c>
      <c r="H6" s="5">
        <v>2100000</v>
      </c>
      <c r="I6" s="5">
        <v>20000000</v>
      </c>
      <c r="J6" s="5">
        <v>48700000</v>
      </c>
      <c r="K6" s="5">
        <v>5844000</v>
      </c>
      <c r="L6" s="5">
        <v>63681813</v>
      </c>
      <c r="M6" s="5">
        <v>20000000</v>
      </c>
      <c r="N6" s="5">
        <v>8000000</v>
      </c>
      <c r="O6" s="5">
        <v>-48825813</v>
      </c>
    </row>
    <row r="7" spans="1:15" x14ac:dyDescent="0.25">
      <c r="A7" s="4">
        <v>6</v>
      </c>
      <c r="B7" s="4">
        <v>1</v>
      </c>
      <c r="C7" s="4">
        <v>4</v>
      </c>
      <c r="D7" s="4">
        <v>14</v>
      </c>
      <c r="E7" s="4">
        <v>0</v>
      </c>
      <c r="F7" s="4">
        <v>18</v>
      </c>
      <c r="G7" s="5">
        <v>34200000</v>
      </c>
      <c r="H7" s="5">
        <v>2700000</v>
      </c>
      <c r="I7" s="5">
        <v>20000000</v>
      </c>
      <c r="J7" s="5">
        <v>56900000</v>
      </c>
      <c r="K7" s="5">
        <v>6828000</v>
      </c>
      <c r="L7" s="5">
        <v>64637040</v>
      </c>
      <c r="M7" s="5">
        <v>20000000</v>
      </c>
      <c r="N7" s="5">
        <v>8000000</v>
      </c>
      <c r="O7" s="5">
        <v>-42565040</v>
      </c>
    </row>
    <row r="8" spans="1:15" x14ac:dyDescent="0.25">
      <c r="A8" s="4">
        <v>7</v>
      </c>
      <c r="B8" s="4">
        <v>1</v>
      </c>
      <c r="C8" s="4">
        <v>5</v>
      </c>
      <c r="D8" s="4">
        <v>18</v>
      </c>
      <c r="E8" s="4">
        <v>0</v>
      </c>
      <c r="F8" s="4">
        <v>23</v>
      </c>
      <c r="G8" s="5">
        <v>43700000</v>
      </c>
      <c r="H8" s="5">
        <v>3450000</v>
      </c>
      <c r="I8" s="5">
        <v>25000000</v>
      </c>
      <c r="J8" s="5">
        <v>72150000</v>
      </c>
      <c r="K8" s="5">
        <v>8658000</v>
      </c>
      <c r="L8" s="5">
        <v>65606596</v>
      </c>
      <c r="M8" s="5">
        <v>20000000</v>
      </c>
      <c r="N8" s="5">
        <v>8000000</v>
      </c>
      <c r="O8" s="5">
        <v>-30114596</v>
      </c>
    </row>
    <row r="9" spans="1:15" x14ac:dyDescent="0.25">
      <c r="A9" s="4">
        <v>8</v>
      </c>
      <c r="B9" s="4">
        <v>1</v>
      </c>
      <c r="C9" s="4">
        <v>5</v>
      </c>
      <c r="D9" s="4">
        <v>23</v>
      </c>
      <c r="E9" s="4">
        <v>0</v>
      </c>
      <c r="F9" s="4">
        <v>28</v>
      </c>
      <c r="G9" s="5">
        <v>53200000</v>
      </c>
      <c r="H9" s="5">
        <v>4200000</v>
      </c>
      <c r="I9" s="5">
        <v>25000000</v>
      </c>
      <c r="J9" s="5">
        <v>82400000</v>
      </c>
      <c r="K9" s="5">
        <v>9888000</v>
      </c>
      <c r="L9" s="5">
        <v>66590695</v>
      </c>
      <c r="M9" s="5">
        <v>20000000</v>
      </c>
      <c r="N9" s="5">
        <v>8000000</v>
      </c>
      <c r="O9" s="5">
        <v>-22078695</v>
      </c>
    </row>
    <row r="10" spans="1:15" x14ac:dyDescent="0.25">
      <c r="A10" s="4">
        <v>9</v>
      </c>
      <c r="B10" s="4">
        <v>1</v>
      </c>
      <c r="C10" s="4">
        <v>6</v>
      </c>
      <c r="D10" s="4">
        <v>28</v>
      </c>
      <c r="E10" s="4">
        <v>0</v>
      </c>
      <c r="F10" s="4">
        <v>34</v>
      </c>
      <c r="G10" s="5">
        <v>64600000</v>
      </c>
      <c r="H10" s="5">
        <v>5100000</v>
      </c>
      <c r="I10" s="5">
        <v>30000000</v>
      </c>
      <c r="J10" s="5">
        <v>99700000</v>
      </c>
      <c r="K10" s="5">
        <v>11964000</v>
      </c>
      <c r="L10" s="5">
        <v>67589555</v>
      </c>
      <c r="M10" s="5">
        <v>20000000</v>
      </c>
      <c r="N10" s="5">
        <v>8000000</v>
      </c>
      <c r="O10" s="5">
        <v>-7853555</v>
      </c>
    </row>
    <row r="11" spans="1:15" x14ac:dyDescent="0.25">
      <c r="A11" s="4">
        <v>10</v>
      </c>
      <c r="B11" s="4">
        <v>1</v>
      </c>
      <c r="C11" s="4">
        <v>6</v>
      </c>
      <c r="D11" s="4">
        <v>34</v>
      </c>
      <c r="E11" s="4">
        <v>0</v>
      </c>
      <c r="F11" s="4">
        <v>40</v>
      </c>
      <c r="G11" s="5">
        <v>76000000</v>
      </c>
      <c r="H11" s="5">
        <v>6000000</v>
      </c>
      <c r="I11" s="5">
        <v>30000000</v>
      </c>
      <c r="J11" s="5">
        <v>112000000</v>
      </c>
      <c r="K11" s="5">
        <v>13440000</v>
      </c>
      <c r="L11" s="5">
        <v>68603399</v>
      </c>
      <c r="M11" s="5">
        <v>20000000</v>
      </c>
      <c r="N11" s="5">
        <v>8000000</v>
      </c>
      <c r="O11" s="5">
        <v>1956601</v>
      </c>
    </row>
    <row r="12" spans="1:15" x14ac:dyDescent="0.25">
      <c r="A12" s="4">
        <v>11</v>
      </c>
      <c r="B12" s="4">
        <v>1</v>
      </c>
      <c r="C12" s="4">
        <v>7</v>
      </c>
      <c r="D12" s="4">
        <v>40</v>
      </c>
      <c r="E12" s="4">
        <v>0</v>
      </c>
      <c r="F12" s="4">
        <v>47</v>
      </c>
      <c r="G12" s="5">
        <v>89300000</v>
      </c>
      <c r="H12" s="5">
        <v>7050000</v>
      </c>
      <c r="I12" s="5">
        <v>35000000</v>
      </c>
      <c r="J12" s="5">
        <v>131350000</v>
      </c>
      <c r="K12" s="5">
        <v>15762000</v>
      </c>
      <c r="L12" s="5">
        <v>69632450</v>
      </c>
      <c r="M12" s="5">
        <v>20000000</v>
      </c>
      <c r="N12" s="5">
        <v>8000000</v>
      </c>
      <c r="O12" s="5">
        <v>17955550</v>
      </c>
    </row>
    <row r="13" spans="1:15" x14ac:dyDescent="0.25">
      <c r="A13" s="4">
        <v>12</v>
      </c>
      <c r="B13" s="4">
        <v>1</v>
      </c>
      <c r="C13" s="4">
        <v>7</v>
      </c>
      <c r="D13" s="4">
        <v>47</v>
      </c>
      <c r="E13" s="4">
        <v>0</v>
      </c>
      <c r="F13" s="4">
        <v>54</v>
      </c>
      <c r="G13" s="5">
        <v>102600000</v>
      </c>
      <c r="H13" s="5">
        <v>8100000</v>
      </c>
      <c r="I13" s="5">
        <v>35000000</v>
      </c>
      <c r="J13" s="5">
        <v>145700000</v>
      </c>
      <c r="K13" s="5">
        <v>17484000</v>
      </c>
      <c r="L13" s="5">
        <v>70676936</v>
      </c>
      <c r="M13" s="5">
        <v>20000000</v>
      </c>
      <c r="N13" s="5">
        <v>8000000</v>
      </c>
      <c r="O13" s="5">
        <v>29539064</v>
      </c>
    </row>
    <row r="14" spans="1:15" x14ac:dyDescent="0.25">
      <c r="A14" s="4">
        <v>13</v>
      </c>
      <c r="B14" s="4">
        <v>2</v>
      </c>
      <c r="C14" s="4">
        <v>8</v>
      </c>
      <c r="D14" s="4">
        <v>54</v>
      </c>
      <c r="E14" s="4">
        <v>1</v>
      </c>
      <c r="F14" s="4">
        <v>61</v>
      </c>
      <c r="G14" s="5">
        <v>115900000</v>
      </c>
      <c r="H14" s="5">
        <v>9150000</v>
      </c>
      <c r="I14" s="5">
        <v>40000000</v>
      </c>
      <c r="J14" s="5">
        <v>165050000</v>
      </c>
      <c r="K14" s="5">
        <v>19806000</v>
      </c>
      <c r="L14" s="5">
        <v>71737090</v>
      </c>
      <c r="M14" s="5">
        <v>35000000</v>
      </c>
      <c r="N14" s="5">
        <v>12000000</v>
      </c>
      <c r="O14" s="5">
        <v>26506910</v>
      </c>
    </row>
    <row r="15" spans="1:15" x14ac:dyDescent="0.25">
      <c r="A15" s="4">
        <v>14</v>
      </c>
      <c r="B15" s="4">
        <v>2</v>
      </c>
      <c r="C15" s="4">
        <v>8</v>
      </c>
      <c r="D15" s="4">
        <v>61</v>
      </c>
      <c r="E15" s="4">
        <v>1</v>
      </c>
      <c r="F15" s="4">
        <v>68</v>
      </c>
      <c r="G15" s="5">
        <v>129200000</v>
      </c>
      <c r="H15" s="5">
        <v>10200000</v>
      </c>
      <c r="I15" s="5">
        <v>40000000</v>
      </c>
      <c r="J15" s="5">
        <v>179400000</v>
      </c>
      <c r="K15" s="5">
        <v>21528000</v>
      </c>
      <c r="L15" s="5">
        <v>72813147</v>
      </c>
      <c r="M15" s="5">
        <v>35000000</v>
      </c>
      <c r="N15" s="5">
        <v>12000000</v>
      </c>
      <c r="O15" s="5">
        <v>38058853</v>
      </c>
    </row>
    <row r="16" spans="1:15" x14ac:dyDescent="0.25">
      <c r="A16" s="4">
        <v>15</v>
      </c>
      <c r="B16" s="4">
        <v>2</v>
      </c>
      <c r="C16" s="4">
        <v>9</v>
      </c>
      <c r="D16" s="4">
        <v>68</v>
      </c>
      <c r="E16" s="4">
        <v>1</v>
      </c>
      <c r="F16" s="4">
        <v>76</v>
      </c>
      <c r="G16" s="5">
        <v>144400000</v>
      </c>
      <c r="H16" s="5">
        <v>11400000</v>
      </c>
      <c r="I16" s="5">
        <v>45000000</v>
      </c>
      <c r="J16" s="5">
        <v>200800000</v>
      </c>
      <c r="K16" s="5">
        <v>24096000</v>
      </c>
      <c r="L16" s="5">
        <v>73905344</v>
      </c>
      <c r="M16" s="5">
        <v>35000000</v>
      </c>
      <c r="N16" s="5">
        <v>12000000</v>
      </c>
      <c r="O16" s="5">
        <v>55798656</v>
      </c>
    </row>
    <row r="17" spans="1:15" x14ac:dyDescent="0.25">
      <c r="A17" s="4">
        <v>16</v>
      </c>
      <c r="B17" s="4">
        <v>2</v>
      </c>
      <c r="C17" s="4">
        <v>9</v>
      </c>
      <c r="D17" s="4">
        <v>76</v>
      </c>
      <c r="E17" s="4">
        <v>1</v>
      </c>
      <c r="F17" s="4">
        <v>84</v>
      </c>
      <c r="G17" s="5">
        <v>159600000</v>
      </c>
      <c r="H17" s="5">
        <v>12600000</v>
      </c>
      <c r="I17" s="5">
        <v>45000000</v>
      </c>
      <c r="J17" s="5">
        <v>217200000</v>
      </c>
      <c r="K17" s="5">
        <v>26064000</v>
      </c>
      <c r="L17" s="5">
        <v>75013924</v>
      </c>
      <c r="M17" s="5">
        <v>35000000</v>
      </c>
      <c r="N17" s="5">
        <v>12000000</v>
      </c>
      <c r="O17" s="5">
        <v>69122076</v>
      </c>
    </row>
    <row r="18" spans="1:15" x14ac:dyDescent="0.25">
      <c r="A18" s="4">
        <v>17</v>
      </c>
      <c r="B18" s="4">
        <v>2</v>
      </c>
      <c r="C18" s="4">
        <v>10</v>
      </c>
      <c r="D18" s="4">
        <v>84</v>
      </c>
      <c r="E18" s="4">
        <v>1</v>
      </c>
      <c r="F18" s="4">
        <v>93</v>
      </c>
      <c r="G18" s="5">
        <v>176700000</v>
      </c>
      <c r="H18" s="5">
        <v>13950000</v>
      </c>
      <c r="I18" s="5">
        <v>50000000</v>
      </c>
      <c r="J18" s="5">
        <v>240650000</v>
      </c>
      <c r="K18" s="5">
        <v>28878000</v>
      </c>
      <c r="L18" s="5">
        <v>76139133</v>
      </c>
      <c r="M18" s="5">
        <v>35000000</v>
      </c>
      <c r="N18" s="5">
        <v>12000000</v>
      </c>
      <c r="O18" s="5">
        <v>88632867</v>
      </c>
    </row>
    <row r="19" spans="1:15" x14ac:dyDescent="0.25">
      <c r="A19" s="4">
        <v>18</v>
      </c>
      <c r="B19" s="4">
        <v>2</v>
      </c>
      <c r="C19" s="4">
        <v>10</v>
      </c>
      <c r="D19" s="4">
        <v>93</v>
      </c>
      <c r="E19" s="4">
        <v>1</v>
      </c>
      <c r="F19" s="4">
        <v>102</v>
      </c>
      <c r="G19" s="5">
        <v>193800000</v>
      </c>
      <c r="H19" s="5">
        <v>15300000</v>
      </c>
      <c r="I19" s="5">
        <v>50000000</v>
      </c>
      <c r="J19" s="5">
        <v>259100000</v>
      </c>
      <c r="K19" s="5">
        <v>31092000</v>
      </c>
      <c r="L19" s="5">
        <v>77281220</v>
      </c>
      <c r="M19" s="5">
        <v>35000000</v>
      </c>
      <c r="N19" s="5">
        <v>12000000</v>
      </c>
      <c r="O19" s="5">
        <v>103726780</v>
      </c>
    </row>
    <row r="20" spans="1:15" x14ac:dyDescent="0.25">
      <c r="A20" s="4">
        <v>19</v>
      </c>
      <c r="B20" s="4">
        <v>2</v>
      </c>
      <c r="C20" s="4">
        <v>11</v>
      </c>
      <c r="D20" s="4">
        <v>102</v>
      </c>
      <c r="E20" s="4">
        <v>1</v>
      </c>
      <c r="F20" s="4">
        <v>112</v>
      </c>
      <c r="G20" s="5">
        <v>212800000</v>
      </c>
      <c r="H20" s="5">
        <v>16800000</v>
      </c>
      <c r="I20" s="5">
        <v>55000000</v>
      </c>
      <c r="J20" s="5">
        <v>284600000</v>
      </c>
      <c r="K20" s="5">
        <v>34152000</v>
      </c>
      <c r="L20" s="5">
        <v>78440438</v>
      </c>
      <c r="M20" s="5">
        <v>35000000</v>
      </c>
      <c r="N20" s="5">
        <v>12000000</v>
      </c>
      <c r="O20" s="5">
        <v>125007562</v>
      </c>
    </row>
    <row r="21" spans="1:15" x14ac:dyDescent="0.25">
      <c r="A21" s="4">
        <v>20</v>
      </c>
      <c r="B21" s="4">
        <v>2</v>
      </c>
      <c r="C21" s="4">
        <v>11</v>
      </c>
      <c r="D21" s="4">
        <v>112</v>
      </c>
      <c r="E21" s="4">
        <v>1</v>
      </c>
      <c r="F21" s="4">
        <v>122</v>
      </c>
      <c r="G21" s="5">
        <v>231800000</v>
      </c>
      <c r="H21" s="5">
        <v>18300000</v>
      </c>
      <c r="I21" s="5">
        <v>55000000</v>
      </c>
      <c r="J21" s="5">
        <v>305100000</v>
      </c>
      <c r="K21" s="5">
        <v>36612000</v>
      </c>
      <c r="L21" s="5">
        <v>79617045</v>
      </c>
      <c r="M21" s="5">
        <v>35000000</v>
      </c>
      <c r="N21" s="5">
        <v>12000000</v>
      </c>
      <c r="O21" s="5">
        <v>141870955</v>
      </c>
    </row>
    <row r="22" spans="1:15" x14ac:dyDescent="0.25">
      <c r="A22" s="4">
        <v>21</v>
      </c>
      <c r="B22" s="4">
        <v>2</v>
      </c>
      <c r="C22" s="4">
        <v>12</v>
      </c>
      <c r="D22" s="4">
        <v>122</v>
      </c>
      <c r="E22" s="4">
        <v>1</v>
      </c>
      <c r="F22" s="4">
        <v>133</v>
      </c>
      <c r="G22" s="5">
        <v>252700000</v>
      </c>
      <c r="H22" s="5">
        <v>19950000</v>
      </c>
      <c r="I22" s="5">
        <v>60000000</v>
      </c>
      <c r="J22" s="5">
        <v>332650000</v>
      </c>
      <c r="K22" s="5">
        <v>39918000</v>
      </c>
      <c r="L22" s="5">
        <v>80811300</v>
      </c>
      <c r="M22" s="5">
        <v>35000000</v>
      </c>
      <c r="N22" s="5">
        <v>12000000</v>
      </c>
      <c r="O22" s="5">
        <v>164920700</v>
      </c>
    </row>
    <row r="23" spans="1:15" x14ac:dyDescent="0.25">
      <c r="A23" s="4">
        <v>22</v>
      </c>
      <c r="B23" s="4">
        <v>2</v>
      </c>
      <c r="C23" s="4">
        <v>12</v>
      </c>
      <c r="D23" s="4">
        <v>133</v>
      </c>
      <c r="E23" s="4">
        <v>1</v>
      </c>
      <c r="F23" s="4">
        <v>144</v>
      </c>
      <c r="G23" s="5">
        <v>273600000</v>
      </c>
      <c r="H23" s="5">
        <v>21600000</v>
      </c>
      <c r="I23" s="5">
        <v>60000000</v>
      </c>
      <c r="J23" s="5">
        <v>355200000</v>
      </c>
      <c r="K23" s="5">
        <v>42624000</v>
      </c>
      <c r="L23" s="5">
        <v>82023470</v>
      </c>
      <c r="M23" s="5">
        <v>35000000</v>
      </c>
      <c r="N23" s="5">
        <v>12000000</v>
      </c>
      <c r="O23" s="5">
        <v>183552530</v>
      </c>
    </row>
    <row r="24" spans="1:15" x14ac:dyDescent="0.25">
      <c r="A24" s="4">
        <v>23</v>
      </c>
      <c r="B24" s="4">
        <v>2</v>
      </c>
      <c r="C24" s="4">
        <v>13</v>
      </c>
      <c r="D24" s="4">
        <v>144</v>
      </c>
      <c r="E24" s="4">
        <v>1</v>
      </c>
      <c r="F24" s="4">
        <v>156</v>
      </c>
      <c r="G24" s="5">
        <v>296400000</v>
      </c>
      <c r="H24" s="5">
        <v>23400000</v>
      </c>
      <c r="I24" s="5">
        <v>65000000</v>
      </c>
      <c r="J24" s="5">
        <v>384800000</v>
      </c>
      <c r="K24" s="5">
        <v>46176000</v>
      </c>
      <c r="L24" s="5">
        <v>83253822</v>
      </c>
      <c r="M24" s="5">
        <v>35000000</v>
      </c>
      <c r="N24" s="5">
        <v>12000000</v>
      </c>
      <c r="O24" s="5">
        <v>208370178</v>
      </c>
    </row>
    <row r="25" spans="1:15" x14ac:dyDescent="0.25">
      <c r="A25" s="4">
        <v>24</v>
      </c>
      <c r="B25" s="4">
        <v>2</v>
      </c>
      <c r="C25" s="4">
        <v>13</v>
      </c>
      <c r="D25" s="4">
        <v>156</v>
      </c>
      <c r="E25" s="4">
        <v>2</v>
      </c>
      <c r="F25" s="4">
        <v>167</v>
      </c>
      <c r="G25" s="5">
        <v>317300000</v>
      </c>
      <c r="H25" s="5">
        <v>25050000</v>
      </c>
      <c r="I25" s="5">
        <v>65000000</v>
      </c>
      <c r="J25" s="5">
        <v>407350000</v>
      </c>
      <c r="K25" s="5">
        <v>48882000</v>
      </c>
      <c r="L25" s="5">
        <v>84502629</v>
      </c>
      <c r="M25" s="5">
        <v>35000000</v>
      </c>
      <c r="N25" s="5">
        <v>12000000</v>
      </c>
      <c r="O25" s="5">
        <v>226965371</v>
      </c>
    </row>
    <row r="26" spans="1:15" x14ac:dyDescent="0.25">
      <c r="A26" s="4">
        <v>25</v>
      </c>
      <c r="B26" s="4">
        <v>3</v>
      </c>
      <c r="C26" s="4">
        <v>14</v>
      </c>
      <c r="D26" s="4">
        <v>167</v>
      </c>
      <c r="E26" s="4">
        <v>2</v>
      </c>
      <c r="F26" s="4">
        <v>179</v>
      </c>
      <c r="G26" s="5">
        <v>340100000</v>
      </c>
      <c r="H26" s="5">
        <v>26850000</v>
      </c>
      <c r="I26" s="5">
        <v>70000000</v>
      </c>
      <c r="J26" s="5">
        <v>436950000</v>
      </c>
      <c r="K26" s="5">
        <v>52434000</v>
      </c>
      <c r="L26" s="5">
        <v>85770169</v>
      </c>
      <c r="M26" s="5">
        <v>55000000</v>
      </c>
      <c r="N26" s="5">
        <v>18000000</v>
      </c>
      <c r="O26" s="5">
        <v>225745831</v>
      </c>
    </row>
    <row r="27" spans="1:15" x14ac:dyDescent="0.25">
      <c r="A27" s="4">
        <v>26</v>
      </c>
      <c r="B27" s="4">
        <v>3</v>
      </c>
      <c r="C27" s="4">
        <v>14</v>
      </c>
      <c r="D27" s="4">
        <v>179</v>
      </c>
      <c r="E27" s="4">
        <v>2</v>
      </c>
      <c r="F27" s="4">
        <v>191</v>
      </c>
      <c r="G27" s="5">
        <v>362900000</v>
      </c>
      <c r="H27" s="5">
        <v>28650000</v>
      </c>
      <c r="I27" s="5">
        <v>70000000</v>
      </c>
      <c r="J27" s="5">
        <v>461550000</v>
      </c>
      <c r="K27" s="5">
        <v>55386000</v>
      </c>
      <c r="L27" s="5">
        <v>87056721</v>
      </c>
      <c r="M27" s="5">
        <v>55000000</v>
      </c>
      <c r="N27" s="5">
        <v>18000000</v>
      </c>
      <c r="O27" s="5">
        <v>246107279</v>
      </c>
    </row>
    <row r="28" spans="1:15" x14ac:dyDescent="0.25">
      <c r="A28" s="4">
        <v>27</v>
      </c>
      <c r="B28" s="4">
        <v>3</v>
      </c>
      <c r="C28" s="4">
        <v>15</v>
      </c>
      <c r="D28" s="4">
        <v>191</v>
      </c>
      <c r="E28" s="4">
        <v>2</v>
      </c>
      <c r="F28" s="4">
        <v>204</v>
      </c>
      <c r="G28" s="5">
        <v>387600000</v>
      </c>
      <c r="H28" s="5">
        <v>30600000</v>
      </c>
      <c r="I28" s="5">
        <v>75000000</v>
      </c>
      <c r="J28" s="5">
        <v>493200000</v>
      </c>
      <c r="K28" s="5">
        <v>59184000</v>
      </c>
      <c r="L28" s="5">
        <v>88362572</v>
      </c>
      <c r="M28" s="5">
        <v>55000000</v>
      </c>
      <c r="N28" s="5">
        <v>18000000</v>
      </c>
      <c r="O28" s="5">
        <v>272653428</v>
      </c>
    </row>
    <row r="29" spans="1:15" x14ac:dyDescent="0.25">
      <c r="A29" s="4">
        <v>28</v>
      </c>
      <c r="B29" s="4">
        <v>3</v>
      </c>
      <c r="C29" s="4">
        <v>15</v>
      </c>
      <c r="D29" s="4">
        <v>204</v>
      </c>
      <c r="E29" s="4">
        <v>2</v>
      </c>
      <c r="F29" s="4">
        <v>217</v>
      </c>
      <c r="G29" s="5">
        <v>412300000</v>
      </c>
      <c r="H29" s="5">
        <v>32550000</v>
      </c>
      <c r="I29" s="5">
        <v>75000000</v>
      </c>
      <c r="J29" s="5">
        <v>519850000</v>
      </c>
      <c r="K29" s="5">
        <v>62382000</v>
      </c>
      <c r="L29" s="5">
        <v>89688011</v>
      </c>
      <c r="M29" s="5">
        <v>55000000</v>
      </c>
      <c r="N29" s="5">
        <v>18000000</v>
      </c>
      <c r="O29" s="5">
        <v>294779989</v>
      </c>
    </row>
    <row r="30" spans="1:15" x14ac:dyDescent="0.25">
      <c r="A30" s="4">
        <v>29</v>
      </c>
      <c r="B30" s="4">
        <v>3</v>
      </c>
      <c r="C30" s="4">
        <v>16</v>
      </c>
      <c r="D30" s="4">
        <v>217</v>
      </c>
      <c r="E30" s="4">
        <v>2</v>
      </c>
      <c r="F30" s="4">
        <v>231</v>
      </c>
      <c r="G30" s="5">
        <v>438900000</v>
      </c>
      <c r="H30" s="5">
        <v>34650000</v>
      </c>
      <c r="I30" s="5">
        <v>80000000</v>
      </c>
      <c r="J30" s="5">
        <v>553550000</v>
      </c>
      <c r="K30" s="5">
        <v>66426000</v>
      </c>
      <c r="L30" s="5">
        <v>91033331</v>
      </c>
      <c r="M30" s="5">
        <v>55000000</v>
      </c>
      <c r="N30" s="5">
        <v>18000000</v>
      </c>
      <c r="O30" s="5">
        <v>323090669</v>
      </c>
    </row>
    <row r="31" spans="1:15" x14ac:dyDescent="0.25">
      <c r="A31" s="4">
        <v>30</v>
      </c>
      <c r="B31" s="4">
        <v>3</v>
      </c>
      <c r="C31" s="4">
        <v>16</v>
      </c>
      <c r="D31" s="4">
        <v>231</v>
      </c>
      <c r="E31" s="4">
        <v>2</v>
      </c>
      <c r="F31" s="4">
        <v>245</v>
      </c>
      <c r="G31" s="5">
        <v>465500000</v>
      </c>
      <c r="H31" s="5">
        <v>36750000</v>
      </c>
      <c r="I31" s="5">
        <v>80000000</v>
      </c>
      <c r="J31" s="5">
        <v>582250000</v>
      </c>
      <c r="K31" s="5">
        <v>69870000</v>
      </c>
      <c r="L31" s="5">
        <v>92398831</v>
      </c>
      <c r="M31" s="5">
        <v>55000000</v>
      </c>
      <c r="N31" s="5">
        <v>18000000</v>
      </c>
      <c r="O31" s="5">
        <v>346981169</v>
      </c>
    </row>
    <row r="32" spans="1:15" x14ac:dyDescent="0.25">
      <c r="A32" s="4">
        <v>31</v>
      </c>
      <c r="B32" s="4">
        <v>3</v>
      </c>
      <c r="C32" s="4">
        <v>17</v>
      </c>
      <c r="D32" s="4">
        <v>245</v>
      </c>
      <c r="E32" s="4">
        <v>2</v>
      </c>
      <c r="F32" s="4">
        <v>260</v>
      </c>
      <c r="G32" s="5">
        <v>494000000</v>
      </c>
      <c r="H32" s="5">
        <v>39000000</v>
      </c>
      <c r="I32" s="5">
        <v>85000000</v>
      </c>
      <c r="J32" s="5">
        <v>618000000</v>
      </c>
      <c r="K32" s="5">
        <v>74160000</v>
      </c>
      <c r="L32" s="5">
        <v>93784813</v>
      </c>
      <c r="M32" s="5">
        <v>55000000</v>
      </c>
      <c r="N32" s="5">
        <v>18000000</v>
      </c>
      <c r="O32" s="5">
        <v>377055187</v>
      </c>
    </row>
    <row r="33" spans="1:15" x14ac:dyDescent="0.25">
      <c r="A33" s="4">
        <v>32</v>
      </c>
      <c r="B33" s="4">
        <v>3</v>
      </c>
      <c r="C33" s="4">
        <v>17</v>
      </c>
      <c r="D33" s="4">
        <v>260</v>
      </c>
      <c r="E33" s="4">
        <v>3</v>
      </c>
      <c r="F33" s="4">
        <v>274</v>
      </c>
      <c r="G33" s="5">
        <v>520600000</v>
      </c>
      <c r="H33" s="5">
        <v>41100000</v>
      </c>
      <c r="I33" s="5">
        <v>85000000</v>
      </c>
      <c r="J33" s="5">
        <v>646700000</v>
      </c>
      <c r="K33" s="5">
        <v>77604000</v>
      </c>
      <c r="L33" s="5">
        <v>95191585</v>
      </c>
      <c r="M33" s="5">
        <v>55000000</v>
      </c>
      <c r="N33" s="5">
        <v>18000000</v>
      </c>
      <c r="O33" s="5">
        <v>400904415</v>
      </c>
    </row>
    <row r="34" spans="1:15" x14ac:dyDescent="0.25">
      <c r="A34" s="4">
        <v>33</v>
      </c>
      <c r="B34" s="4">
        <v>3</v>
      </c>
      <c r="C34" s="4">
        <v>18</v>
      </c>
      <c r="D34" s="4">
        <v>274</v>
      </c>
      <c r="E34" s="4">
        <v>3</v>
      </c>
      <c r="F34" s="4">
        <v>289</v>
      </c>
      <c r="G34" s="5">
        <v>549100000</v>
      </c>
      <c r="H34" s="5">
        <v>43350000</v>
      </c>
      <c r="I34" s="5">
        <v>90000000</v>
      </c>
      <c r="J34" s="5">
        <v>682450000</v>
      </c>
      <c r="K34" s="5">
        <v>81894000</v>
      </c>
      <c r="L34" s="5">
        <v>96619459</v>
      </c>
      <c r="M34" s="5">
        <v>55000000</v>
      </c>
      <c r="N34" s="5">
        <v>18000000</v>
      </c>
      <c r="O34" s="5">
        <v>430936541</v>
      </c>
    </row>
    <row r="35" spans="1:15" x14ac:dyDescent="0.25">
      <c r="A35" s="4">
        <v>34</v>
      </c>
      <c r="B35" s="4">
        <v>3</v>
      </c>
      <c r="C35" s="4">
        <v>18</v>
      </c>
      <c r="D35" s="4">
        <v>289</v>
      </c>
      <c r="E35" s="4">
        <v>3</v>
      </c>
      <c r="F35" s="4">
        <v>304</v>
      </c>
      <c r="G35" s="5">
        <v>577600000</v>
      </c>
      <c r="H35" s="5">
        <v>45600000</v>
      </c>
      <c r="I35" s="5">
        <v>90000000</v>
      </c>
      <c r="J35" s="5">
        <v>713200000</v>
      </c>
      <c r="K35" s="5">
        <v>85584000</v>
      </c>
      <c r="L35" s="5">
        <v>98068751</v>
      </c>
      <c r="M35" s="5">
        <v>55000000</v>
      </c>
      <c r="N35" s="5">
        <v>18000000</v>
      </c>
      <c r="O35" s="5">
        <v>456547249</v>
      </c>
    </row>
    <row r="36" spans="1:15" x14ac:dyDescent="0.25">
      <c r="A36" s="4">
        <v>35</v>
      </c>
      <c r="B36" s="4">
        <v>3</v>
      </c>
      <c r="C36" s="4">
        <v>19</v>
      </c>
      <c r="D36" s="4">
        <v>304</v>
      </c>
      <c r="E36" s="4">
        <v>3</v>
      </c>
      <c r="F36" s="4">
        <v>320</v>
      </c>
      <c r="G36" s="5">
        <v>608000000</v>
      </c>
      <c r="H36" s="5">
        <v>48000000</v>
      </c>
      <c r="I36" s="5">
        <v>95000000</v>
      </c>
      <c r="J36" s="5">
        <v>751000000</v>
      </c>
      <c r="K36" s="5">
        <v>90120000</v>
      </c>
      <c r="L36" s="5">
        <v>99539782</v>
      </c>
      <c r="M36" s="5">
        <v>55000000</v>
      </c>
      <c r="N36" s="5">
        <v>18000000</v>
      </c>
      <c r="O36" s="5">
        <v>488340218</v>
      </c>
    </row>
    <row r="37" spans="1:15" x14ac:dyDescent="0.25">
      <c r="A37" s="4">
        <v>36</v>
      </c>
      <c r="B37" s="4">
        <v>3</v>
      </c>
      <c r="C37" s="4">
        <v>20</v>
      </c>
      <c r="D37" s="4">
        <v>320</v>
      </c>
      <c r="E37" s="4">
        <v>3</v>
      </c>
      <c r="F37" s="4">
        <v>337</v>
      </c>
      <c r="G37" s="5">
        <v>640300000</v>
      </c>
      <c r="H37" s="5">
        <v>50550000</v>
      </c>
      <c r="I37" s="5">
        <v>100000000</v>
      </c>
      <c r="J37" s="5">
        <v>790850000</v>
      </c>
      <c r="K37" s="5">
        <v>94902000</v>
      </c>
      <c r="L37" s="5">
        <v>101032879</v>
      </c>
      <c r="M37" s="5">
        <v>55000000</v>
      </c>
      <c r="N37" s="5">
        <v>18000000</v>
      </c>
      <c r="O37" s="5">
        <v>521915121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5" x14ac:dyDescent="0.25"/>
  <cols>
    <col min="1" max="7" width="20" customWidth="1"/>
  </cols>
  <sheetData>
    <row r="1" spans="1:7" x14ac:dyDescent="0.25">
      <c r="A1" s="2" t="s">
        <v>39</v>
      </c>
      <c r="B1" s="2" t="s">
        <v>40</v>
      </c>
      <c r="C1" s="2" t="s">
        <v>51</v>
      </c>
      <c r="D1" s="2" t="s">
        <v>52</v>
      </c>
      <c r="E1" s="2" t="s">
        <v>46</v>
      </c>
      <c r="F1" s="2" t="s">
        <v>50</v>
      </c>
      <c r="G1" s="2" t="s">
        <v>53</v>
      </c>
    </row>
    <row r="2" spans="1:7" x14ac:dyDescent="0.25">
      <c r="A2" s="4">
        <v>1</v>
      </c>
      <c r="B2" s="4">
        <v>54</v>
      </c>
      <c r="C2" s="4">
        <v>54</v>
      </c>
      <c r="D2" s="5">
        <v>576050000</v>
      </c>
      <c r="E2" s="5">
        <v>846050000</v>
      </c>
      <c r="F2" s="5">
        <v>-373948686</v>
      </c>
      <c r="G2" s="5">
        <v>110700000</v>
      </c>
    </row>
    <row r="3" spans="1:7" x14ac:dyDescent="0.25">
      <c r="A3" s="4">
        <v>2</v>
      </c>
      <c r="B3" s="4">
        <v>126</v>
      </c>
      <c r="C3" s="4">
        <v>167</v>
      </c>
      <c r="D3" s="5">
        <v>2701900000</v>
      </c>
      <c r="E3" s="5">
        <v>3331900000</v>
      </c>
      <c r="F3" s="5">
        <v>1432533438</v>
      </c>
      <c r="G3" s="5">
        <v>342350000</v>
      </c>
    </row>
    <row r="4" spans="1:7" x14ac:dyDescent="0.25">
      <c r="A4" s="4">
        <v>3</v>
      </c>
      <c r="B4" s="4">
        <v>199</v>
      </c>
      <c r="C4" s="4">
        <v>337</v>
      </c>
      <c r="D4" s="5">
        <v>6254550000</v>
      </c>
      <c r="E4" s="5">
        <v>7249550000</v>
      </c>
      <c r="F4" s="5">
        <v>4385057096</v>
      </c>
      <c r="G4" s="5">
        <v>690850000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/>
  </sheetViews>
  <sheetFormatPr defaultRowHeight="15" x14ac:dyDescent="0.25"/>
  <cols>
    <col min="1" max="6" width="20" customWidth="1"/>
  </cols>
  <sheetData>
    <row r="1" spans="1:6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25">
      <c r="A2" s="4" t="s">
        <v>60</v>
      </c>
      <c r="B2" s="5">
        <v>585650000</v>
      </c>
      <c r="C2" s="5">
        <v>2295250000</v>
      </c>
      <c r="D2" s="5">
        <v>4862650000</v>
      </c>
      <c r="E2" s="5">
        <v>2284585096</v>
      </c>
      <c r="F2" s="4">
        <v>223</v>
      </c>
    </row>
    <row r="3" spans="1:6" x14ac:dyDescent="0.25">
      <c r="A3" s="4" t="s">
        <v>61</v>
      </c>
      <c r="B3" s="5">
        <v>846050000</v>
      </c>
      <c r="C3" s="5">
        <v>3331900000</v>
      </c>
      <c r="D3" s="5">
        <v>7249550000</v>
      </c>
      <c r="E3" s="5">
        <v>4385057096</v>
      </c>
      <c r="F3" s="4">
        <v>337</v>
      </c>
    </row>
    <row r="4" spans="1:6" x14ac:dyDescent="0.25">
      <c r="A4" s="4" t="s">
        <v>62</v>
      </c>
      <c r="B4" s="5">
        <v>1106450000</v>
      </c>
      <c r="C4" s="5">
        <v>4364450000</v>
      </c>
      <c r="D4" s="5">
        <v>9599550000</v>
      </c>
      <c r="E4" s="5">
        <v>6453057096</v>
      </c>
      <c r="F4" s="4">
        <v>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abSelected="1" workbookViewId="0"/>
  </sheetViews>
  <sheetFormatPr defaultRowHeight="15" x14ac:dyDescent="0.25"/>
  <sheetData>
    <row r="1" spans="1:1" ht="18.75" x14ac:dyDescent="0.3">
      <c r="A1" s="1" t="s">
        <v>63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Yoriqnoma</vt:lpstr>
      <vt:lpstr>Farazlar</vt:lpstr>
      <vt:lpstr>Oyma-oy model</vt:lpstr>
      <vt:lpstr>Yillik xulosa</vt:lpstr>
      <vt:lpstr>Ssenariylar</vt:lpstr>
      <vt:lpstr>Grafiklar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11</cp:lastModifiedBy>
  <dcterms:created xsi:type="dcterms:W3CDTF">2026-04-06T10:27:05Z</dcterms:created>
  <dcterms:modified xsi:type="dcterms:W3CDTF">2026-04-06T10:36:03Z</dcterms:modified>
</cp:coreProperties>
</file>